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4FF78190-B830-40A5-9B3B-9F6928EE49F3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eguimiento SLA" sheetId="1" r:id="rId1"/>
    <sheet name="Resumen ejecutivo" sheetId="2" r:id="rId2"/>
    <sheet name="Criterios SLA" sheetId="3" r:id="rId3"/>
    <sheet name="Registro de correc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13" i="2" s="1"/>
</calcChain>
</file>

<file path=xl/sharedStrings.xml><?xml version="1.0" encoding="utf-8"?>
<sst xmlns="http://schemas.openxmlformats.org/spreadsheetml/2006/main" count="185" uniqueCount="146">
  <si>
    <t>Cliente</t>
  </si>
  <si>
    <t>Remitente</t>
  </si>
  <si>
    <t>País</t>
  </si>
  <si>
    <t>Servicio</t>
  </si>
  <si>
    <t>Proceso</t>
  </si>
  <si>
    <t>Asunto</t>
  </si>
  <si>
    <t>Resumen</t>
  </si>
  <si>
    <t>Fecha recepción</t>
  </si>
  <si>
    <t>Inicio conteo SLA</t>
  </si>
  <si>
    <t>Responsable</t>
  </si>
  <si>
    <t>Estado</t>
  </si>
  <si>
    <t>Vencimiento SLA</t>
  </si>
  <si>
    <t>Tiempo hábil</t>
  </si>
  <si>
    <t>Evidencia de respuesta</t>
  </si>
  <si>
    <t>Acción prioritaria</t>
  </si>
  <si>
    <t>Observaciones</t>
  </si>
  <si>
    <t>Fuente Outlook</t>
  </si>
  <si>
    <t>SailGlobal</t>
  </si>
  <si>
    <t>Ivy Wang &lt;ivywang@sailglobal.com&gt;</t>
  </si>
  <si>
    <t>Colombia</t>
  </si>
  <si>
    <t>EOR / Payroll Expat</t>
  </si>
  <si>
    <t>Aportes de seguridad social / expatriados</t>
  </si>
  <si>
    <t>Re: From Sailglobal_Colombia Expat EOR and Work Visa Feasibility Assessment</t>
  </si>
  <si>
    <t>Solicita aclarar si aportes de seguridad social empleador/empleado aplican igual a locales y expatriados, y si existen exenciones o reglas especiales para expats.</t>
  </si>
  <si>
    <t>Ricardo Arámbulo</t>
  </si>
  <si>
    <t>Respondida</t>
  </si>
  <si>
    <t>0 h 06 min (confirmado por usuario)</t>
  </si>
  <si>
    <t>Confirmado por Ricardo: respuesta enviada a las 11:06. No clasificar como SLA vencido.</t>
  </si>
  <si>
    <t>Sin acción SLA de primera respuesta. Continuar seguimiento operativo si queda pendiente de fondo.</t>
  </si>
  <si>
    <t>Corrección por confirmación del usuario: la primera respuesta fue enviada dentro del SLA. La hora exacta queda soportada por confirmación del usuario.</t>
  </si>
  <si>
    <t>turn1search5</t>
  </si>
  <si>
    <t>RemoFirst</t>
  </si>
  <si>
    <t>Sebastian Narvaez &lt;operations@remofirst.com&gt;</t>
  </si>
  <si>
    <t>Estados Unidos / Colombia</t>
  </si>
  <si>
    <t>Partnership / Addendum comercial</t>
  </si>
  <si>
    <t>Revisión de addendum</t>
  </si>
  <si>
    <t>Re: S&amp;P new addendum</t>
  </si>
  <si>
    <t>Comparte nueva propuesta en documento externo y solicita revisión.</t>
  </si>
  <si>
    <t>Cumplido; hora exacta no verificada en Outlook</t>
  </si>
  <si>
    <t>Confirmado por Ricardo: hubo respuesta posterior. No clasificar como SLA vencido.</t>
  </si>
  <si>
    <t>Sin acción SLA de primera respuesta. Mantener seguimiento de revisión contractual si el addendum sigue abierto.</t>
  </si>
  <si>
    <t>Corrección por confirmación del usuario. El estado anterior se basó en vista parcial del hilo y fue reclasificado.</t>
  </si>
  <si>
    <t>turn1search6</t>
  </si>
  <si>
    <t>Safeguard Global</t>
  </si>
  <si>
    <t>Sweety Sahney &lt;SweetySahney@safeguardglobal.com&gt;</t>
  </si>
  <si>
    <t>Colombia / Global</t>
  </si>
  <si>
    <t>Partner Management</t>
  </si>
  <si>
    <t>Análisis incremento costos contables</t>
  </si>
  <si>
    <t>RE: S&amp;P Colombia - análisis solicitud incremento costos Conta</t>
  </si>
  <si>
    <t>Solicita disponibilidad para llamada jueves o viernes para discutir el tema.</t>
  </si>
  <si>
    <t>Sin acción SLA de primera respuesta. Mantener coordinación de llamada si sigue pendiente agendarla.</t>
  </si>
  <si>
    <t>turn1search4</t>
  </si>
  <si>
    <t>Intellipro / IPG</t>
  </si>
  <si>
    <t>Roger Zhang &lt;roger.zhang@intelliprogroup.com&gt;</t>
  </si>
  <si>
    <t>Costa Rica / Mid-America</t>
  </si>
  <si>
    <t>Payroll Services / Contrato</t>
  </si>
  <si>
    <t>Modelo de precios para equipos pequeños</t>
  </si>
  <si>
    <t>Re: S&amp;P X IPG Mid-America Payroll Service MSA</t>
  </si>
  <si>
    <t>Solicita alternativas de precios para clientes con headcount menor a 20 empleados frente al umbral mensual del 10% de movimientos.</t>
  </si>
  <si>
    <t>Sin acción SLA de primera respuesta. Mantener seguimiento comercial si queda pendiente definición de pricing.</t>
  </si>
  <si>
    <t>turn1search1</t>
  </si>
  <si>
    <t>Manpower / CFMP</t>
  </si>
  <si>
    <t>Zoe Zhang &lt;zoe.zhang@cf.manpower.com.cn&gt;</t>
  </si>
  <si>
    <t>Perú</t>
  </si>
  <si>
    <t>EOR</t>
  </si>
  <si>
    <t>Contrato laboral / fee / depósito</t>
  </si>
  <si>
    <t>RE: 回复：Checking in</t>
  </si>
  <si>
    <t>Solicita avanzar con plantilla de contrato laboral, factura de setup fee y depósito anticipado.</t>
  </si>
  <si>
    <t>Tatiana Chavarro</t>
  </si>
  <si>
    <t>En gestión</t>
  </si>
  <si>
    <t>4 h 31 min</t>
  </si>
  <si>
    <t>Tatiana respondió sobre fee de procesamiento de contrato y depósito; queda continuar con documentos/facturación.</t>
  </si>
  <si>
    <t>Primera respuesta sustancial detectada en conversación.</t>
  </si>
  <si>
    <t>turn1search2</t>
  </si>
  <si>
    <t>Ematys</t>
  </si>
  <si>
    <t>Frederic Escalas &lt;frederic.escalas@ematys.com&gt;</t>
  </si>
  <si>
    <t>Terminación / última factura / depósito</t>
  </si>
  <si>
    <t>Re: URGENT - Looking for an EOR provider in Colombia</t>
  </si>
  <si>
    <t>Consulta proceso de última factura y deducción de depósito para salida del empleado.</t>
  </si>
  <si>
    <t>Germán Hincapié</t>
  </si>
  <si>
    <t>7 h 37 min</t>
  </si>
  <si>
    <t>Germán respondió con proceso de terminación, cálculo de liquidación y deducción del depósito en factura de agosto.</t>
  </si>
  <si>
    <t>EoR Colombia correctamente asignado a Germán.</t>
  </si>
  <si>
    <t>turn1search3</t>
  </si>
  <si>
    <t>CarbonBetter / RemoFirst</t>
  </si>
  <si>
    <t>Maycon Ghiraldi &lt;maycon@remofirst.com&gt;</t>
  </si>
  <si>
    <t>Afiliación EPS</t>
  </si>
  <si>
    <t>Re: EPS affiliation | CarbonBetter LLC</t>
  </si>
  <si>
    <t>Solicita que el equipo contacte al empleado y confirmar una vez esté hecho para actualizar a CarbonBetter.</t>
  </si>
  <si>
    <t>Germán Hincapié / Administración de Personal</t>
  </si>
  <si>
    <t>6 h 40 min</t>
  </si>
  <si>
    <t>Germán informó que escalaría a Administración de Personal para contactar al empleado lo antes posible.</t>
  </si>
  <si>
    <t>EoR Colombia. Germán incluido en la conversación.</t>
  </si>
  <si>
    <t>turn1search9</t>
  </si>
  <si>
    <t>Zambon Colombia</t>
  </si>
  <si>
    <t>Zuanny Acuña &lt;Zuanny.Acuna@ZambonGroup.com&gt;</t>
  </si>
  <si>
    <t>Proyecto / Horas</t>
  </si>
  <si>
    <t>Aprobación planilla horas</t>
  </si>
  <si>
    <t>RE: Planilla Horas 2026-08</t>
  </si>
  <si>
    <t>Cliente aprueba proceder con planilla de horas julio-agosto.</t>
  </si>
  <si>
    <t>Ricardo Arámbulo / Yuly Peña</t>
  </si>
  <si>
    <t>Cerrada</t>
  </si>
  <si>
    <t>5 h 45 min</t>
  </si>
  <si>
    <t>Cliente indicó: 'Por favor proceder'.</t>
  </si>
  <si>
    <t>No es solicitud pendiente de primera respuesta; se incluye como referencia de cierre.</t>
  </si>
  <si>
    <t>turn1search8</t>
  </si>
  <si>
    <t>Seguimiento SLA - Resumen ejecutivo</t>
  </si>
  <si>
    <t>Corte</t>
  </si>
  <si>
    <t>Regla SLA primera respuesta</t>
  </si>
  <si>
    <t>2 horas hábiles, lunes a viernes, 08:00-17:00, America/Bogota</t>
  </si>
  <si>
    <t>Nota</t>
  </si>
  <si>
    <t>Archivo actualizado con la confirmación de Ricardo: SailGlobal, RemoFirst, Safeguard Global e Intellipro/IPG sí tuvieron respuesta posterior y no deben figurar como SLA vencido. No se enviaron ni reenviaron correos.</t>
  </si>
  <si>
    <t>Total solicitudes registradas</t>
  </si>
  <si>
    <t>SLA vencido</t>
  </si>
  <si>
    <t>Cerradas</t>
  </si>
  <si>
    <t>Respondidas</t>
  </si>
  <si>
    <t>Próximas a vencer</t>
  </si>
  <si>
    <t>% dentro del SLA / sin vencimiento</t>
  </si>
  <si>
    <t>Acciones prioritarias corregidas</t>
  </si>
  <si>
    <t>1. No hay casos confirmados como SLA vencido en los cuatro registros corregidos.</t>
  </si>
  <si>
    <t>2. Tratar SailGlobal, RemoFirst, Safeguard Global e Intellipro/IPG como Respondida para SLA de primera respuesta.</t>
  </si>
  <si>
    <t>3. Mantener seguimiento operativo de fondo únicamente si la solicitud sigue abierta.</t>
  </si>
  <si>
    <t>4. En revisiones futuras, no marcar SLA vencido si los enviados o la conversación completa no están verificados. Usar No verificable o Requiere validación.</t>
  </si>
  <si>
    <t>Parámetro</t>
  </si>
  <si>
    <t>Valor</t>
  </si>
  <si>
    <t>Zona horaria</t>
  </si>
  <si>
    <t>America/Bogota</t>
  </si>
  <si>
    <t>Horario hábil</t>
  </si>
  <si>
    <t>Lunes a viernes, 08:00-17:00</t>
  </si>
  <si>
    <t>SLA primera respuesta</t>
  </si>
  <si>
    <t>2 horas hábiles</t>
  </si>
  <si>
    <t>Estados permitidos</t>
  </si>
  <si>
    <t>Nueva, Asignada, Pendiente de respuesta, Próxima a vencer, SLA vencido, En gestión, Respondida, Cerrada, Requiere validación, No verificable</t>
  </si>
  <si>
    <t>Primera respuesta sustancial</t>
  </si>
  <si>
    <t>Respuesta al cliente que atiende total/parcialmente la solicitud, pide información concreta, entrega orientación útil, o confirma acción y fecha razonable.</t>
  </si>
  <si>
    <t>No sustancial</t>
  </si>
  <si>
    <t>Recibido, gracias, lo estamos revisando, pronto responderemos, respuestas automáticas o solo confirmaciones internas.</t>
  </si>
  <si>
    <t>Festivos</t>
  </si>
  <si>
    <t>Se trató el 17/08/2026 como festivo Colombia para este corte.</t>
  </si>
  <si>
    <t>Fecha corrección</t>
  </si>
  <si>
    <t>Estado anterior</t>
  </si>
  <si>
    <t>Estado actualizado</t>
  </si>
  <si>
    <t>Motivo</t>
  </si>
  <si>
    <t>Fuente de corrección</t>
  </si>
  <si>
    <t>El usuario confirmó que hubo respuesta posterior; el reporte anterior usó vista parcial del hilo.</t>
  </si>
  <si>
    <t>Confirmación de Ricardo en conversación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</si>
</sst>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SeguimientoSLA" displayName="TablaSeguimientoSLA" ref="A1:Q9">
  <autoFilter ref="A1:Q9" xr:uid="{00000000-0009-0000-0100-000001000000}"/>
  <tableColumns count="17">
    <tableColumn id="1" xr3:uid="{00000000-0010-0000-0000-000001000000}" name="Cliente"/>
    <tableColumn id="2" xr3:uid="{00000000-0010-0000-0000-000002000000}" name="Remitente"/>
    <tableColumn id="3" xr3:uid="{00000000-0010-0000-0000-000003000000}" name="País"/>
    <tableColumn id="4" xr3:uid="{00000000-0010-0000-0000-000004000000}" name="Servicio"/>
    <tableColumn id="5" xr3:uid="{00000000-0010-0000-0000-000005000000}" name="Proceso"/>
    <tableColumn id="6" xr3:uid="{00000000-0010-0000-0000-000006000000}" name="Asunto"/>
    <tableColumn id="7" xr3:uid="{00000000-0010-0000-0000-000007000000}" name="Resumen"/>
    <tableColumn id="8" xr3:uid="{00000000-0010-0000-0000-000008000000}" name="Fecha recepción"/>
    <tableColumn id="9" xr3:uid="{00000000-0010-0000-0000-000009000000}" name="Inicio conteo SLA"/>
    <tableColumn id="10" xr3:uid="{00000000-0010-0000-0000-00000A000000}" name="Responsable"/>
    <tableColumn id="11" xr3:uid="{00000000-0010-0000-0000-00000B000000}" name="Estado"/>
    <tableColumn id="12" xr3:uid="{00000000-0010-0000-0000-00000C000000}" name="Vencimiento SLA"/>
    <tableColumn id="13" xr3:uid="{00000000-0010-0000-0000-00000D000000}" name="Tiempo hábil"/>
    <tableColumn id="14" xr3:uid="{00000000-0010-0000-0000-00000E000000}" name="Evidencia de respuesta"/>
    <tableColumn id="15" xr3:uid="{00000000-0010-0000-0000-00000F000000}" name="Acción prioritaria"/>
    <tableColumn id="16" xr3:uid="{00000000-0010-0000-0000-000010000000}" name="Observaciones"/>
    <tableColumn id="17" xr3:uid="{00000000-0010-0000-0000-000011000000}" name="Fuente Outloo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22" customWidth="1"/>
    <col min="2" max="2" width="36" customWidth="1"/>
    <col min="3" max="3" width="18" customWidth="1"/>
    <col min="4" max="4" width="24" customWidth="1"/>
    <col min="5" max="5" width="32" customWidth="1"/>
    <col min="6" max="6" width="48" customWidth="1"/>
    <col min="7" max="7" width="68" customWidth="1"/>
    <col min="8" max="9" width="22" customWidth="1"/>
    <col min="10" max="10" width="35" customWidth="1"/>
    <col min="11" max="11" width="18" customWidth="1"/>
    <col min="12" max="12" width="22" customWidth="1"/>
    <col min="13" max="13" width="16" customWidth="1"/>
    <col min="14" max="15" width="70" customWidth="1"/>
    <col min="16" max="16" width="55" customWidth="1"/>
    <col min="17" max="17" width="1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2.1" customHeight="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46252.458333333343</v>
      </c>
      <c r="I2" s="5">
        <v>46252.458333333343</v>
      </c>
      <c r="J2" s="4" t="s">
        <v>24</v>
      </c>
      <c r="K2" s="4" t="s">
        <v>25</v>
      </c>
      <c r="L2" s="5">
        <v>46252.541666666657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r="3" spans="1:17" ht="62.1" customHeight="1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5">
        <v>46252.527083333327</v>
      </c>
      <c r="I3" s="5">
        <v>46252.527083333327</v>
      </c>
      <c r="J3" s="4" t="s">
        <v>24</v>
      </c>
      <c r="K3" s="4" t="s">
        <v>25</v>
      </c>
      <c r="L3" s="5">
        <v>46252.61041666667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</row>
    <row r="4" spans="1:17" ht="62.1" customHeight="1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5">
        <v>46252.318749999999</v>
      </c>
      <c r="I4" s="5">
        <v>46252.333333333343</v>
      </c>
      <c r="J4" s="4" t="s">
        <v>24</v>
      </c>
      <c r="K4" s="4" t="s">
        <v>25</v>
      </c>
      <c r="L4" s="5">
        <v>46252.416666666657</v>
      </c>
      <c r="M4" s="4" t="s">
        <v>38</v>
      </c>
      <c r="N4" s="4" t="s">
        <v>39</v>
      </c>
      <c r="O4" s="4" t="s">
        <v>50</v>
      </c>
      <c r="P4" s="4" t="s">
        <v>41</v>
      </c>
      <c r="Q4" s="4" t="s">
        <v>51</v>
      </c>
    </row>
    <row r="5" spans="1:17" ht="62.1" customHeight="1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5">
        <v>46251.95</v>
      </c>
      <c r="I5" s="5">
        <v>46252.333333333343</v>
      </c>
      <c r="J5" s="4" t="s">
        <v>24</v>
      </c>
      <c r="K5" s="4" t="s">
        <v>25</v>
      </c>
      <c r="L5" s="5">
        <v>46252.416666666657</v>
      </c>
      <c r="M5" s="4" t="s">
        <v>38</v>
      </c>
      <c r="N5" s="4" t="s">
        <v>39</v>
      </c>
      <c r="O5" s="4" t="s">
        <v>59</v>
      </c>
      <c r="P5" s="4" t="s">
        <v>41</v>
      </c>
      <c r="Q5" s="4" t="s">
        <v>60</v>
      </c>
    </row>
    <row r="6" spans="1:17" ht="62.1" customHeight="1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3">
        <v>46252.462500000001</v>
      </c>
      <c r="I6" s="3">
        <v>46252.462500000001</v>
      </c>
      <c r="J6" s="2" t="s">
        <v>68</v>
      </c>
      <c r="K6" s="2" t="s">
        <v>69</v>
      </c>
      <c r="L6" s="3">
        <v>46252.54583333333</v>
      </c>
      <c r="M6" s="2" t="s">
        <v>70</v>
      </c>
      <c r="N6" s="2" t="s">
        <v>71</v>
      </c>
      <c r="O6" s="2"/>
      <c r="P6" s="2" t="s">
        <v>72</v>
      </c>
      <c r="Q6" s="2" t="s">
        <v>73</v>
      </c>
    </row>
    <row r="7" spans="1:17" ht="62.1" customHeight="1">
      <c r="A7" s="2" t="s">
        <v>74</v>
      </c>
      <c r="B7" s="2" t="s">
        <v>75</v>
      </c>
      <c r="C7" s="2" t="s">
        <v>19</v>
      </c>
      <c r="D7" s="2" t="s">
        <v>64</v>
      </c>
      <c r="E7" s="2" t="s">
        <v>76</v>
      </c>
      <c r="F7" s="2" t="s">
        <v>77</v>
      </c>
      <c r="G7" s="2" t="s">
        <v>78</v>
      </c>
      <c r="H7" s="3">
        <v>46251.194444444453</v>
      </c>
      <c r="I7" s="3">
        <v>46252.333333333343</v>
      </c>
      <c r="J7" s="2" t="s">
        <v>79</v>
      </c>
      <c r="K7" s="2" t="s">
        <v>69</v>
      </c>
      <c r="L7" s="3">
        <v>46252.416666666657</v>
      </c>
      <c r="M7" s="2" t="s">
        <v>80</v>
      </c>
      <c r="N7" s="2" t="s">
        <v>81</v>
      </c>
      <c r="O7" s="2"/>
      <c r="P7" s="2" t="s">
        <v>82</v>
      </c>
      <c r="Q7" s="2" t="s">
        <v>83</v>
      </c>
    </row>
    <row r="8" spans="1:17" ht="62.1" customHeight="1">
      <c r="A8" s="2" t="s">
        <v>84</v>
      </c>
      <c r="B8" s="2" t="s">
        <v>85</v>
      </c>
      <c r="C8" s="2" t="s">
        <v>19</v>
      </c>
      <c r="D8" s="2" t="s">
        <v>64</v>
      </c>
      <c r="E8" s="2" t="s">
        <v>86</v>
      </c>
      <c r="F8" s="2" t="s">
        <v>87</v>
      </c>
      <c r="G8" s="2" t="s">
        <v>88</v>
      </c>
      <c r="H8" s="3">
        <v>46252.372916666667</v>
      </c>
      <c r="I8" s="3">
        <v>46252.372916666667</v>
      </c>
      <c r="J8" s="2" t="s">
        <v>89</v>
      </c>
      <c r="K8" s="2" t="s">
        <v>69</v>
      </c>
      <c r="L8" s="3">
        <v>46252.456250000003</v>
      </c>
      <c r="M8" s="2" t="s">
        <v>90</v>
      </c>
      <c r="N8" s="2" t="s">
        <v>91</v>
      </c>
      <c r="O8" s="2"/>
      <c r="P8" s="2" t="s">
        <v>92</v>
      </c>
      <c r="Q8" s="2" t="s">
        <v>93</v>
      </c>
    </row>
    <row r="9" spans="1:17" ht="62.1" customHeight="1">
      <c r="A9" s="4" t="s">
        <v>94</v>
      </c>
      <c r="B9" s="4" t="s">
        <v>95</v>
      </c>
      <c r="C9" s="4" t="s">
        <v>19</v>
      </c>
      <c r="D9" s="4" t="s">
        <v>96</v>
      </c>
      <c r="E9" s="4" t="s">
        <v>97</v>
      </c>
      <c r="F9" s="4" t="s">
        <v>98</v>
      </c>
      <c r="G9" s="4" t="s">
        <v>99</v>
      </c>
      <c r="H9" s="5">
        <v>46252.411111111112</v>
      </c>
      <c r="I9" s="5">
        <v>46252.411111111112</v>
      </c>
      <c r="J9" s="4" t="s">
        <v>100</v>
      </c>
      <c r="K9" s="4" t="s">
        <v>101</v>
      </c>
      <c r="L9" s="5">
        <v>46252.494444444441</v>
      </c>
      <c r="M9" s="4" t="s">
        <v>102</v>
      </c>
      <c r="N9" s="4" t="s">
        <v>103</v>
      </c>
      <c r="O9" s="4"/>
      <c r="P9" s="4" t="s">
        <v>104</v>
      </c>
      <c r="Q9" s="4" t="s">
        <v>105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tabSelected="1" workbookViewId="0">
      <selection activeCell="A5" sqref="A5"/>
    </sheetView>
  </sheetViews>
  <sheetFormatPr defaultRowHeight="15"/>
  <cols>
    <col min="1" max="1" width="48" customWidth="1"/>
    <col min="2" max="2" width="80" customWidth="1"/>
  </cols>
  <sheetData>
    <row r="1" spans="1:2" ht="29.25" customHeight="1">
      <c r="A1" s="6" t="s">
        <v>106</v>
      </c>
      <c r="B1" s="7"/>
    </row>
    <row r="2" spans="1:2">
      <c r="A2" s="7" t="s">
        <v>107</v>
      </c>
      <c r="B2" s="8">
        <v>46252.650694444441</v>
      </c>
    </row>
    <row r="3" spans="1:2">
      <c r="A3" s="7" t="s">
        <v>108</v>
      </c>
      <c r="B3" s="7" t="s">
        <v>109</v>
      </c>
    </row>
    <row r="4" spans="1:2">
      <c r="A4" s="7" t="s">
        <v>110</v>
      </c>
      <c r="B4" s="7" t="s">
        <v>111</v>
      </c>
    </row>
    <row r="5" spans="1:2">
      <c r="A5" s="7"/>
      <c r="B5" s="7"/>
    </row>
    <row r="6" spans="1:2">
      <c r="A6" s="7"/>
      <c r="B6" s="7"/>
    </row>
    <row r="7" spans="1:2">
      <c r="A7" s="9" t="s">
        <v>112</v>
      </c>
      <c r="B7" s="10">
        <f>COUNTA('Seguimiento SLA'!A2:A1048576)</f>
        <v>8</v>
      </c>
    </row>
    <row r="8" spans="1:2">
      <c r="A8" s="9" t="s">
        <v>113</v>
      </c>
      <c r="B8" s="10">
        <f>COUNTIF('Seguimiento SLA'!K:K,"SLA vencido")</f>
        <v>0</v>
      </c>
    </row>
    <row r="9" spans="1:2">
      <c r="A9" s="9" t="s">
        <v>69</v>
      </c>
      <c r="B9" s="10">
        <f>COUNTIF('Seguimiento SLA'!K:K,"En gestión")</f>
        <v>3</v>
      </c>
    </row>
    <row r="10" spans="1:2">
      <c r="A10" s="9" t="s">
        <v>114</v>
      </c>
      <c r="B10" s="10">
        <f>COUNTIF('Seguimiento SLA'!K:K,"Cerrada")</f>
        <v>1</v>
      </c>
    </row>
    <row r="11" spans="1:2">
      <c r="A11" s="9" t="s">
        <v>115</v>
      </c>
      <c r="B11" s="10">
        <f>COUNTIF('Seguimiento SLA'!K:K,"Respondida")</f>
        <v>4</v>
      </c>
    </row>
    <row r="12" spans="1:2">
      <c r="A12" s="9" t="s">
        <v>116</v>
      </c>
      <c r="B12" s="10">
        <f>COUNTIF('Seguimiento SLA'!K:K,"Próxima a vencer")</f>
        <v>0</v>
      </c>
    </row>
    <row r="13" spans="1:2">
      <c r="A13" s="9" t="s">
        <v>117</v>
      </c>
      <c r="B13" s="11">
        <f>IF(B7=0,0,(B7-B8)/B7)</f>
        <v>1</v>
      </c>
    </row>
    <row r="14" spans="1:2">
      <c r="A14" s="7"/>
      <c r="B14" s="7"/>
    </row>
    <row r="15" spans="1:2">
      <c r="A15" s="7"/>
      <c r="B15" s="7"/>
    </row>
    <row r="16" spans="1:2">
      <c r="A16" s="14" t="s">
        <v>118</v>
      </c>
      <c r="B16" s="15"/>
    </row>
    <row r="17" spans="1:2">
      <c r="A17" s="15" t="s">
        <v>119</v>
      </c>
      <c r="B17" s="15"/>
    </row>
    <row r="18" spans="1:2">
      <c r="A18" s="15" t="s">
        <v>120</v>
      </c>
      <c r="B18" s="15"/>
    </row>
    <row r="19" spans="1:2">
      <c r="A19" s="15" t="s">
        <v>121</v>
      </c>
      <c r="B19" s="15"/>
    </row>
    <row r="20" spans="1:2">
      <c r="A20" s="15" t="s">
        <v>122</v>
      </c>
      <c r="B20" s="15"/>
    </row>
    <row r="21" spans="1:2">
      <c r="A21" s="15"/>
      <c r="B21" s="15"/>
    </row>
    <row r="22" spans="1:2">
      <c r="A22" s="15"/>
      <c r="B22" s="15"/>
    </row>
    <row r="23" spans="1:2">
      <c r="A23" s="16"/>
      <c r="B23" s="16"/>
    </row>
    <row r="24" spans="1:2">
      <c r="A24" s="16"/>
      <c r="B24" s="16"/>
    </row>
    <row r="25" spans="1:2">
      <c r="A25" s="16"/>
      <c r="B25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activeCell="B5" sqref="B5"/>
    </sheetView>
  </sheetViews>
  <sheetFormatPr defaultRowHeight="15"/>
  <cols>
    <col min="1" max="1" width="32" customWidth="1"/>
    <col min="2" max="2" width="100" customWidth="1"/>
  </cols>
  <sheetData>
    <row r="1" spans="1:2">
      <c r="A1" s="12" t="s">
        <v>123</v>
      </c>
      <c r="B1" s="12" t="s">
        <v>124</v>
      </c>
    </row>
    <row r="2" spans="1:2">
      <c r="A2" s="13" t="s">
        <v>125</v>
      </c>
      <c r="B2" s="13" t="s">
        <v>126</v>
      </c>
    </row>
    <row r="3" spans="1:2">
      <c r="A3" s="13" t="s">
        <v>127</v>
      </c>
      <c r="B3" s="13" t="s">
        <v>128</v>
      </c>
    </row>
    <row r="4" spans="1:2">
      <c r="A4" s="13" t="s">
        <v>129</v>
      </c>
      <c r="B4" s="13" t="s">
        <v>130</v>
      </c>
    </row>
    <row r="5" spans="1:2">
      <c r="A5" s="13" t="s">
        <v>131</v>
      </c>
      <c r="B5" s="13" t="s">
        <v>132</v>
      </c>
    </row>
    <row r="6" spans="1:2">
      <c r="A6" s="13" t="s">
        <v>133</v>
      </c>
      <c r="B6" s="13" t="s">
        <v>134</v>
      </c>
    </row>
    <row r="7" spans="1:2">
      <c r="A7" s="13" t="s">
        <v>135</v>
      </c>
      <c r="B7" s="13" t="s">
        <v>136</v>
      </c>
    </row>
    <row r="8" spans="1:2">
      <c r="A8" s="13" t="s">
        <v>137</v>
      </c>
      <c r="B8" s="13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/>
  </sheetViews>
  <sheetFormatPr defaultRowHeight="15"/>
  <cols>
    <col min="1" max="1" width="22" customWidth="1"/>
    <col min="2" max="2" width="24" customWidth="1"/>
    <col min="3" max="4" width="18" customWidth="1"/>
    <col min="5" max="5" width="70" customWidth="1"/>
    <col min="6" max="6" width="36" customWidth="1"/>
  </cols>
  <sheetData>
    <row r="1" spans="1:6">
      <c r="A1" s="1" t="s">
        <v>139</v>
      </c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</row>
    <row r="2" spans="1:6" ht="42" customHeight="1">
      <c r="A2" s="17">
        <v>46252.650694444441</v>
      </c>
      <c r="B2" s="13" t="s">
        <v>17</v>
      </c>
      <c r="C2" s="13" t="s">
        <v>113</v>
      </c>
      <c r="D2" s="13" t="s">
        <v>25</v>
      </c>
      <c r="E2" s="13" t="s">
        <v>144</v>
      </c>
      <c r="F2" s="13" t="s">
        <v>145</v>
      </c>
    </row>
    <row r="3" spans="1:6" ht="42" customHeight="1">
      <c r="A3" s="17">
        <v>46252.650694444441</v>
      </c>
      <c r="B3" s="13" t="s">
        <v>31</v>
      </c>
      <c r="C3" s="13" t="s">
        <v>113</v>
      </c>
      <c r="D3" s="13" t="s">
        <v>25</v>
      </c>
      <c r="E3" s="13" t="s">
        <v>144</v>
      </c>
      <c r="F3" s="13" t="s">
        <v>145</v>
      </c>
    </row>
    <row r="4" spans="1:6" ht="42" customHeight="1">
      <c r="A4" s="17">
        <v>46252.650694444441</v>
      </c>
      <c r="B4" s="13" t="s">
        <v>43</v>
      </c>
      <c r="C4" s="13" t="s">
        <v>113</v>
      </c>
      <c r="D4" s="13" t="s">
        <v>25</v>
      </c>
      <c r="E4" s="13" t="s">
        <v>144</v>
      </c>
      <c r="F4" s="13" t="s">
        <v>145</v>
      </c>
    </row>
    <row r="5" spans="1:6" ht="42" customHeight="1">
      <c r="A5" s="17">
        <v>46252.650694444441</v>
      </c>
      <c r="B5" s="13" t="s">
        <v>52</v>
      </c>
      <c r="C5" s="13" t="s">
        <v>113</v>
      </c>
      <c r="D5" s="13" t="s">
        <v>25</v>
      </c>
      <c r="E5" s="13" t="s">
        <v>144</v>
      </c>
      <c r="F5" s="1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Arambulo Polo</dc:creator>
  <cp:keywords/>
  <dc:description/>
  <cp:lastModifiedBy/>
  <cp:revision/>
  <dcterms:created xsi:type="dcterms:W3CDTF">2026-08-18T20:46:29Z</dcterms:created>
  <dcterms:modified xsi:type="dcterms:W3CDTF">2026-10-05T16:19:51Z</dcterms:modified>
  <cp:category/>
  <cp:contentStatus/>
</cp:coreProperties>
</file>